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ait\Documents\2MG3\2Erronka\2MG3_2Erronka\Entregatzeko dokumentuak\TPV\"/>
    </mc:Choice>
  </mc:AlternateContent>
  <xr:revisionPtr revIDLastSave="0" documentId="13_ncr:1_{284587F8-37B6-45F0-9F47-D94991611A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rraipena" sheetId="1" r:id="rId1"/>
    <sheet name="Laburpe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E6" i="2"/>
  <c r="B6" i="2"/>
  <c r="E5" i="2"/>
  <c r="B5" i="2"/>
  <c r="E8" i="2" s="1"/>
  <c r="E4" i="2"/>
</calcChain>
</file>

<file path=xl/sharedStrings.xml><?xml version="1.0" encoding="utf-8"?>
<sst xmlns="http://schemas.openxmlformats.org/spreadsheetml/2006/main" count="227" uniqueCount="140">
  <si>
    <t>TPV kaxa beltzeko proben jarraipena</t>
  </si>
  <si>
    <t>Test ID</t>
  </si>
  <si>
    <t>Atala</t>
  </si>
  <si>
    <t>Egiaztatu beharrekoa</t>
  </si>
  <si>
    <t>Aurrebaldintzak</t>
  </si>
  <si>
    <t>Sarrera / ekintza</t>
  </si>
  <si>
    <t>Espero den emaitza</t>
  </si>
  <si>
    <t>Ondo atera da?</t>
  </si>
  <si>
    <t>Oharrak</t>
  </si>
  <si>
    <t>Proba-data</t>
  </si>
  <si>
    <t>Probatzailea</t>
  </si>
  <si>
    <t>Pantaila irekitzea eta datuak kargatzea</t>
  </si>
  <si>
    <t>Eskaria Sortu pantaila irekitzea</t>
  </si>
  <si>
    <t>Langileak saioa hasita dauka eta menu nagusia ikusgai dago.</t>
  </si>
  <si>
    <t>Menu nagusian Eskaria Sortu botoia sakatzea.</t>
  </si>
  <si>
    <t>Eskaria Sortu pantaila irekitzen da, erabiltzailearen izena goiburuan agertzen da eta eskaera sortzeko kontrolak bistaratzen dira.</t>
  </si>
  <si>
    <t>Egiteke</t>
  </si>
  <si>
    <t>Erreserba aukeratzeko zerrenda kargatzea</t>
  </si>
  <si>
    <t>Sisteman ordaindu gabeko erreserbak daude.</t>
  </si>
  <si>
    <t>Eskaria Sortu pantaila irekitzea.</t>
  </si>
  <si>
    <t>Erreserba aukeratzeko zerrendan ordaindu gabeko erreserbak agertzen dira.</t>
  </si>
  <si>
    <t>Ordaindutako erreserbak ez agertzea</t>
  </si>
  <si>
    <t>Sisteman erreserba ordainduak eta ordaindu gabeak daude.</t>
  </si>
  <si>
    <t>Erreserben zerrenda irekitzea.</t>
  </si>
  <si>
    <t>Ordaindutako erreserbak ez dira eskaera berria sortzeko zerrendan agertzen.</t>
  </si>
  <si>
    <t>Produktuak kargatzea</t>
  </si>
  <si>
    <t>APIan produktuak daude izen, prezio, kategoria eta stockarekin.</t>
  </si>
  <si>
    <t>Produktuak botoi gisa erakusten dira, izena eta prezioa ikusgai dituztela.</t>
  </si>
  <si>
    <t>Kategoriak kargatzea</t>
  </si>
  <si>
    <t>APIan produktu-kategoriak daude.</t>
  </si>
  <si>
    <t>Guztiak botoia eta produktu-kategoria bakoitzeko botoia agertzen dira.</t>
  </si>
  <si>
    <t>Produkturik ez dagoenean</t>
  </si>
  <si>
    <t>APIak produktuen zerrenda hutsa itzultzen du.</t>
  </si>
  <si>
    <t>Sistemak produkturik ez dagoela jakinarazten du eta erabiltzaileak ezin du eskaera osatu.</t>
  </si>
  <si>
    <t>Erreserba hautatzea eta balidazioak</t>
  </si>
  <si>
    <t>Erreserba hautatzea</t>
  </si>
  <si>
    <t>Ordaindu gabeko erreserba bat baino gehiago dago.</t>
  </si>
  <si>
    <t>Erreserba bat hautatzea goitibeherako zerrendan.</t>
  </si>
  <si>
    <t>Hautatutako erreserba eskaera berriarekin lotzeko prest geratzen da.</t>
  </si>
  <si>
    <t>Erreserbarik gabe gordetzea</t>
  </si>
  <si>
    <t>Ez dago erreserbarik hautatuta.</t>
  </si>
  <si>
    <t>Produktu bat gehitu ondoren Gorde/Sartu botoia sakatzea.</t>
  </si>
  <si>
    <t>Sistemak erreserba aukeratu behar dela adierazten du eta eskaera ez da sortzen.</t>
  </si>
  <si>
    <t>Erreserbarik erabilgarri ez dagoenean</t>
  </si>
  <si>
    <t>Ez dago ordaindu gabeko erreserbarik.</t>
  </si>
  <si>
    <t>Eskaria Sortu pantaila ireki eta eskaera sortzen saiatzea.</t>
  </si>
  <si>
    <t>Ezin da eskaera sortu; sistemak erreserba eta produktuak aukeratu behar direla jakinarazten du.</t>
  </si>
  <si>
    <t>Produkturik gabe gordetzea</t>
  </si>
  <si>
    <t>Erreserba bat hautatuta dago baina ez da produkturik gehitu.</t>
  </si>
  <si>
    <t>Gorde/Sartu botoia sakatzea.</t>
  </si>
  <si>
    <t>Sistemak produktuak aukeratu behar direla adierazten du eta eskaera ez da sortzen.</t>
  </si>
  <si>
    <t>Produktuak gehitzea eta kentzea</t>
  </si>
  <si>
    <t>Lehen produktua gehitzea</t>
  </si>
  <si>
    <t>Erreserba hautatuta dago eta produktuak erabilgarri daude.</t>
  </si>
  <si>
    <t>Produktu baten botoia behin sakatzea.</t>
  </si>
  <si>
    <t>Produktua eskaeraren taulan agertzen da, kantitatea 1 da eta prezio totala produktuaren prezioarekin eguneratzen da.</t>
  </si>
  <si>
    <t>Produktu bera berriro gehitzea</t>
  </si>
  <si>
    <t>Produktuak stock nahikoa dauka eta dagoeneko eskaeran dago.</t>
  </si>
  <si>
    <t>Produktu bera berriro sakatzea.</t>
  </si>
  <si>
    <t>Produktuaren kantitatea handitzen da, lerroko prezioa eguneratzen da eta guztizkoa berrikalkulatzen da.</t>
  </si>
  <si>
    <t>Produktu desberdinak gehitzea</t>
  </si>
  <si>
    <t>Erreserba hautatuta dago eta produktu bat baino gehiago dago erabilgarri.</t>
  </si>
  <si>
    <t>Produktu desberdinak sakatzea.</t>
  </si>
  <si>
    <t>Produktu bakoitza eskaeraren taulan agertzen da eta prezio totala produktu guztien batura da.</t>
  </si>
  <si>
    <t>Kantitatea jaistea</t>
  </si>
  <si>
    <t>Produktu batek kantitatea 2 edo handiagoa dauka eskaeran.</t>
  </si>
  <si>
    <t>Produktu horren Ezabatu botoia sakatzea.</t>
  </si>
  <si>
    <t>Produktuaren kantitatea unitate bat jaisten da eta prezio totala eguneratzen da.</t>
  </si>
  <si>
    <t>Produktua guztiz kentzea</t>
  </si>
  <si>
    <t>Produktu batek kantitatea 1 dauka eskaeran.</t>
  </si>
  <si>
    <t>Produktua eskaeratik desagertzen da eta prezio totala berrikalkulatzen da.</t>
  </si>
  <si>
    <t>Eskaera hutsik geratzea</t>
  </si>
  <si>
    <t>Eskaeran produktu bakarra dago.</t>
  </si>
  <si>
    <t>Produktu horren azken unitatea ezabatzea.</t>
  </si>
  <si>
    <t>Eskaeraren taula hutsik geratzen da eta erabiltzaileak ezin du eskaera gorde produkturik gehitu arte.</t>
  </si>
  <si>
    <t>Stocka, kategoriak eta prezio totala</t>
  </si>
  <si>
    <t>Stock muga errespetatzea</t>
  </si>
  <si>
    <t>Produktu batek stock mugatua dauka.</t>
  </si>
  <si>
    <t>Produktu hori gehitzen jarraitzea hautatutako kantitatea stockera iritsi arte.</t>
  </si>
  <si>
    <t>Stock muga lortzean produktuaren botoia desgaitzen da eta ezin da kantitate handiagoa gehitu.</t>
  </si>
  <si>
    <t>Stocka berriro gaitzea</t>
  </si>
  <si>
    <t>Produktu baten botoia desgaituta dago stock muga lortu delako.</t>
  </si>
  <si>
    <t>Produktu horren unitate bat eskaeratik kentzea.</t>
  </si>
  <si>
    <t>Produktuaren botoia berriro gaitzen da eta beste unitate bat gehitzeko aukera ematen du.</t>
  </si>
  <si>
    <t>Stock 0 duen produktua</t>
  </si>
  <si>
    <t>Produktu batek stock 0 dauka.</t>
  </si>
  <si>
    <t>Produktu hori ezin da eskaerara gehitu.</t>
  </si>
  <si>
    <t>Kategoriaz iragaztea</t>
  </si>
  <si>
    <t>Produktuak hainbat kategoriatan banatuta daude.</t>
  </si>
  <si>
    <t>Kategoria baten botoia sakatzea.</t>
  </si>
  <si>
    <t>Aukeratutako kategoriako produktuak bakarrik agertzen dira.</t>
  </si>
  <si>
    <t>Guztiak botoia erabiltzea</t>
  </si>
  <si>
    <t>Kategoria-iragazki bat aktibatuta dago.</t>
  </si>
  <si>
    <t>Guztiak botoia sakatzea.</t>
  </si>
  <si>
    <t>Produktu guztiak berriro erakusten dira.</t>
  </si>
  <si>
    <t>Iragazkia aldatzean eskaera ez galtzea</t>
  </si>
  <si>
    <t>Produktu batzuk dagoeneko eskaeran gehituta daude.</t>
  </si>
  <si>
    <t>Kategoria batetik bestera aldatzea.</t>
  </si>
  <si>
    <t>Eskaeraren taulako produktuak eta prezio totala mantentzen dira.</t>
  </si>
  <si>
    <t>Prezio totalaren kalkulua</t>
  </si>
  <si>
    <t>Hainbat produktu eta kantitate gehituta daude.</t>
  </si>
  <si>
    <t>Eskaeraren prezio totala begiratzea.</t>
  </si>
  <si>
    <t>Prezio totala produktu bakoitzaren kantitatea bider unitateko prezioa kalkuluen baturarekin bat dator eta bi hamartarrekin agertzen da.</t>
  </si>
  <si>
    <t>Eskaria sortzea eta emaitza</t>
  </si>
  <si>
    <t>Eskaria behar bezala sortzea</t>
  </si>
  <si>
    <t>Erreserba bat hautatuta dago eta gutxienez produktu bat gehituta dago.</t>
  </si>
  <si>
    <t>Eskaria Sortu/Gorde botoia sakatzea.</t>
  </si>
  <si>
    <t>Sistemak eskaera sortzen du eta baieztapen-mezua erakusten du.</t>
  </si>
  <si>
    <t>Baieztapen-mezuaren edukia</t>
  </si>
  <si>
    <t>Eskaera behar bezala sortu da.</t>
  </si>
  <si>
    <t>Baieztapen-mezua irakurtzea.</t>
  </si>
  <si>
    <t>Mezuak prezio totala eta hautatutako produktuen laburpena erakusten ditu.</t>
  </si>
  <si>
    <t>Sortutako eskaeraren egoera</t>
  </si>
  <si>
    <t>Eskaera berria behar bezala sortu da.</t>
  </si>
  <si>
    <t>Eskariak Ikusi pantailara joatea.</t>
  </si>
  <si>
    <t>Eskaera berria Bidalita egoerarekin agertzen da.</t>
  </si>
  <si>
    <t>Pantaila garbitzea sortu ondoren</t>
  </si>
  <si>
    <t>Eskaera behar bezala sortu da eta baieztapena itxi da.</t>
  </si>
  <si>
    <t>Eskaria Sortu pantaila berrikustea.</t>
  </si>
  <si>
    <t>Aurreko eskaerako produktuen zerrenda garbituta geratzen da eta beste eskaera bat sortzeko aukera dago.</t>
  </si>
  <si>
    <t>API errorea sortzean</t>
  </si>
  <si>
    <t>APIa ez dago erabilgarri edo errorea itzultzen du.</t>
  </si>
  <si>
    <t>Bestela baliozkoa den eskaera bat sortzen saiatzea.</t>
  </si>
  <si>
    <t>Sistemak errorea eskaria sortzean mezua erakusten du eta ez du eskaera sortu dela baieztatzen.</t>
  </si>
  <si>
    <t>Atzera egitea sortu gabe</t>
  </si>
  <si>
    <t>Eskaria Sortu pantailan produktu batzuk gehituta daude baina ez da gorde.</t>
  </si>
  <si>
    <t>Atzera botoia sakatzea.</t>
  </si>
  <si>
    <t>Aplikazioa aurreko pantailara itzultzen da eta eskaera ez da sortzen.</t>
  </si>
  <si>
    <t>Proben jarraipenaren laburpena</t>
  </si>
  <si>
    <t>Adierazlea</t>
  </si>
  <si>
    <t>Balioa</t>
  </si>
  <si>
    <t>Egoera</t>
  </si>
  <si>
    <t>Kopurua</t>
  </si>
  <si>
    <t>Test kopurua</t>
  </si>
  <si>
    <t>Bai</t>
  </si>
  <si>
    <t>Ondo</t>
  </si>
  <si>
    <t>Ez</t>
  </si>
  <si>
    <t>Errorearekin</t>
  </si>
  <si>
    <t>Betetze-maila</t>
  </si>
  <si>
    <t>Iraitz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</si>
</sst>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8"/>
      <color rgb="FFFFFFFF"/>
      <name val="Carlito"/>
    </font>
    <font>
      <i/>
      <sz val="11"/>
      <color rgb="FF5F370E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B45F06"/>
      </patternFill>
    </fill>
    <fill>
      <patternFill patternType="solid">
        <fgColor rgb="FFFCE5CD"/>
      </patternFill>
    </fill>
    <fill>
      <patternFill patternType="solid">
        <fgColor rgb="FFF386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Proben egoera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Kopurua</c:v>
          </c:tx>
          <c:invertIfNegative val="1"/>
          <c:cat>
            <c:strRef>
              <c:f>Laburpena!$D$4:$D$6</c:f>
              <c:strCache>
                <c:ptCount val="3"/>
                <c:pt idx="0">
                  <c:v>Bai</c:v>
                </c:pt>
                <c:pt idx="1">
                  <c:v>Ez</c:v>
                </c:pt>
                <c:pt idx="2">
                  <c:v>Egiteke</c:v>
                </c:pt>
              </c:strCache>
            </c:strRef>
          </c:cat>
          <c:val>
            <c:numRef>
              <c:f>Laburpena!$E$4:$E$6</c:f>
              <c:numCache>
                <c:formatCode>General</c:formatCode>
                <c:ptCount val="3"/>
                <c:pt idx="0">
                  <c:v>29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E-4B5B-91F5-2C7A7D34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benJarraipena" displayName="ProbenJarraipena" ref="A4:J33">
  <tableColumns count="10">
    <tableColumn id="1" xr3:uid="{00000000-0010-0000-0000-000001000000}" name="Test ID"/>
    <tableColumn id="2" xr3:uid="{00000000-0010-0000-0000-000002000000}" name="Atala"/>
    <tableColumn id="3" xr3:uid="{00000000-0010-0000-0000-000003000000}" name="Egiaztatu beharrekoa"/>
    <tableColumn id="4" xr3:uid="{00000000-0010-0000-0000-000004000000}" name="Aurrebaldintzak"/>
    <tableColumn id="5" xr3:uid="{00000000-0010-0000-0000-000005000000}" name="Sarrera / ekintza"/>
    <tableColumn id="6" xr3:uid="{00000000-0010-0000-0000-000006000000}" name="Espero den emaitza"/>
    <tableColumn id="7" xr3:uid="{00000000-0010-0000-0000-000007000000}" name="Ondo atera da?"/>
    <tableColumn id="8" xr3:uid="{00000000-0010-0000-0000-000008000000}" name="Oharrak"/>
    <tableColumn id="9" xr3:uid="{00000000-0010-0000-0000-000009000000}" name="Proba-data"/>
    <tableColumn id="10" xr3:uid="{00000000-0010-0000-0000-00000A000000}" name="Probatzail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zoomScale="70" zoomScaleNormal="70" workbookViewId="0">
      <selection activeCell="H41" sqref="H41"/>
    </sheetView>
  </sheetViews>
  <sheetFormatPr baseColWidth="10" defaultColWidth="8.796875" defaultRowHeight="13.8"/>
  <cols>
    <col min="1" max="1" width="11.19921875" customWidth="1"/>
    <col min="2" max="2" width="23.5" customWidth="1"/>
    <col min="3" max="3" width="30.296875" customWidth="1"/>
    <col min="4" max="5" width="36.296875" customWidth="1"/>
    <col min="6" max="6" width="43.69921875" customWidth="1"/>
    <col min="7" max="7" width="14.796875" customWidth="1"/>
    <col min="8" max="8" width="31.59765625" customWidth="1"/>
    <col min="9" max="9" width="13.5" customWidth="1"/>
    <col min="10" max="10" width="16.09765625" customWidth="1"/>
  </cols>
  <sheetData>
    <row r="1" spans="1:10" ht="25.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1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4" spans="1:10" ht="31.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58.5" customHeight="1">
      <c r="A5" s="4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134</v>
      </c>
      <c r="H5" s="4"/>
      <c r="I5" s="5">
        <v>46149</v>
      </c>
      <c r="J5" s="4" t="s">
        <v>139</v>
      </c>
    </row>
    <row r="6" spans="1:10" ht="58.5" customHeight="1">
      <c r="A6" s="4">
        <v>2</v>
      </c>
      <c r="B6" s="4" t="s">
        <v>11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134</v>
      </c>
      <c r="H6" s="4"/>
      <c r="I6" s="5">
        <v>46149</v>
      </c>
      <c r="J6" s="4" t="s">
        <v>139</v>
      </c>
    </row>
    <row r="7" spans="1:10" ht="58.5" customHeight="1">
      <c r="A7" s="4">
        <v>3</v>
      </c>
      <c r="B7" s="4" t="s">
        <v>11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134</v>
      </c>
      <c r="H7" s="4"/>
      <c r="I7" s="5">
        <v>46149</v>
      </c>
      <c r="J7" s="4" t="s">
        <v>139</v>
      </c>
    </row>
    <row r="8" spans="1:10" ht="58.5" customHeight="1">
      <c r="A8" s="4">
        <v>4</v>
      </c>
      <c r="B8" s="4" t="s">
        <v>11</v>
      </c>
      <c r="C8" s="4" t="s">
        <v>25</v>
      </c>
      <c r="D8" s="4" t="s">
        <v>26</v>
      </c>
      <c r="E8" s="4" t="s">
        <v>19</v>
      </c>
      <c r="F8" s="4" t="s">
        <v>27</v>
      </c>
      <c r="G8" s="4" t="s">
        <v>134</v>
      </c>
      <c r="H8" s="4"/>
      <c r="I8" s="5">
        <v>46149</v>
      </c>
      <c r="J8" s="4" t="s">
        <v>139</v>
      </c>
    </row>
    <row r="9" spans="1:10" ht="58.5" customHeight="1">
      <c r="A9" s="4">
        <v>5</v>
      </c>
      <c r="B9" s="4" t="s">
        <v>11</v>
      </c>
      <c r="C9" s="4" t="s">
        <v>28</v>
      </c>
      <c r="D9" s="4" t="s">
        <v>29</v>
      </c>
      <c r="E9" s="4" t="s">
        <v>19</v>
      </c>
      <c r="F9" s="4" t="s">
        <v>30</v>
      </c>
      <c r="G9" s="4" t="s">
        <v>134</v>
      </c>
      <c r="H9" s="4"/>
      <c r="I9" s="5">
        <v>46149</v>
      </c>
      <c r="J9" s="4" t="s">
        <v>139</v>
      </c>
    </row>
    <row r="10" spans="1:10" ht="58.5" customHeight="1">
      <c r="A10" s="4">
        <v>6</v>
      </c>
      <c r="B10" s="4" t="s">
        <v>11</v>
      </c>
      <c r="C10" s="4" t="s">
        <v>31</v>
      </c>
      <c r="D10" s="4" t="s">
        <v>32</v>
      </c>
      <c r="E10" s="4" t="s">
        <v>19</v>
      </c>
      <c r="F10" s="4" t="s">
        <v>33</v>
      </c>
      <c r="G10" s="4" t="s">
        <v>134</v>
      </c>
      <c r="H10" s="4"/>
      <c r="I10" s="5">
        <v>46149</v>
      </c>
      <c r="J10" s="4" t="s">
        <v>139</v>
      </c>
    </row>
    <row r="11" spans="1:10" ht="58.5" customHeight="1">
      <c r="A11" s="4">
        <v>7</v>
      </c>
      <c r="B11" s="4" t="s">
        <v>34</v>
      </c>
      <c r="C11" s="4" t="s">
        <v>35</v>
      </c>
      <c r="D11" s="4" t="s">
        <v>36</v>
      </c>
      <c r="E11" s="4" t="s">
        <v>37</v>
      </c>
      <c r="F11" s="4" t="s">
        <v>38</v>
      </c>
      <c r="G11" s="4" t="s">
        <v>134</v>
      </c>
      <c r="H11" s="4"/>
      <c r="I11" s="5">
        <v>46149</v>
      </c>
      <c r="J11" s="4" t="s">
        <v>139</v>
      </c>
    </row>
    <row r="12" spans="1:10" ht="58.5" customHeight="1">
      <c r="A12" s="4">
        <v>8</v>
      </c>
      <c r="B12" s="4" t="s">
        <v>34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134</v>
      </c>
      <c r="H12" s="4"/>
      <c r="I12" s="5">
        <v>46149</v>
      </c>
      <c r="J12" s="4" t="s">
        <v>139</v>
      </c>
    </row>
    <row r="13" spans="1:10" ht="58.5" customHeight="1">
      <c r="A13" s="4">
        <v>9</v>
      </c>
      <c r="B13" s="4" t="s">
        <v>34</v>
      </c>
      <c r="C13" s="4" t="s">
        <v>43</v>
      </c>
      <c r="D13" s="4" t="s">
        <v>44</v>
      </c>
      <c r="E13" s="4" t="s">
        <v>45</v>
      </c>
      <c r="F13" s="4" t="s">
        <v>46</v>
      </c>
      <c r="G13" s="4" t="s">
        <v>134</v>
      </c>
      <c r="H13" s="4"/>
      <c r="I13" s="5">
        <v>46149</v>
      </c>
      <c r="J13" s="4" t="s">
        <v>139</v>
      </c>
    </row>
    <row r="14" spans="1:10" ht="58.5" customHeight="1">
      <c r="A14" s="4">
        <v>10</v>
      </c>
      <c r="B14" s="4" t="s">
        <v>34</v>
      </c>
      <c r="C14" s="4" t="s">
        <v>47</v>
      </c>
      <c r="D14" s="4" t="s">
        <v>48</v>
      </c>
      <c r="E14" s="4" t="s">
        <v>49</v>
      </c>
      <c r="F14" s="4" t="s">
        <v>50</v>
      </c>
      <c r="G14" s="4" t="s">
        <v>134</v>
      </c>
      <c r="H14" s="4"/>
      <c r="I14" s="5">
        <v>46149</v>
      </c>
      <c r="J14" s="4" t="s">
        <v>139</v>
      </c>
    </row>
    <row r="15" spans="1:10" ht="58.5" customHeight="1">
      <c r="A15" s="4">
        <v>11</v>
      </c>
      <c r="B15" s="4" t="s">
        <v>51</v>
      </c>
      <c r="C15" s="4" t="s">
        <v>52</v>
      </c>
      <c r="D15" s="4" t="s">
        <v>53</v>
      </c>
      <c r="E15" s="4" t="s">
        <v>54</v>
      </c>
      <c r="F15" s="4" t="s">
        <v>55</v>
      </c>
      <c r="G15" s="4" t="s">
        <v>134</v>
      </c>
      <c r="H15" s="4"/>
      <c r="I15" s="5">
        <v>46149</v>
      </c>
      <c r="J15" s="4" t="s">
        <v>139</v>
      </c>
    </row>
    <row r="16" spans="1:10" ht="58.5" customHeight="1">
      <c r="A16" s="4">
        <v>12</v>
      </c>
      <c r="B16" s="4" t="s">
        <v>51</v>
      </c>
      <c r="C16" s="4" t="s">
        <v>56</v>
      </c>
      <c r="D16" s="4" t="s">
        <v>57</v>
      </c>
      <c r="E16" s="4" t="s">
        <v>58</v>
      </c>
      <c r="F16" s="4" t="s">
        <v>59</v>
      </c>
      <c r="G16" s="4" t="s">
        <v>134</v>
      </c>
      <c r="H16" s="4"/>
      <c r="I16" s="5">
        <v>46149</v>
      </c>
      <c r="J16" s="4" t="s">
        <v>139</v>
      </c>
    </row>
    <row r="17" spans="1:10" ht="58.5" customHeight="1">
      <c r="A17" s="4">
        <v>13</v>
      </c>
      <c r="B17" s="4" t="s">
        <v>51</v>
      </c>
      <c r="C17" s="4" t="s">
        <v>60</v>
      </c>
      <c r="D17" s="4" t="s">
        <v>61</v>
      </c>
      <c r="E17" s="4" t="s">
        <v>62</v>
      </c>
      <c r="F17" s="4" t="s">
        <v>63</v>
      </c>
      <c r="G17" s="4" t="s">
        <v>134</v>
      </c>
      <c r="H17" s="4"/>
      <c r="I17" s="5">
        <v>46149</v>
      </c>
      <c r="J17" s="4" t="s">
        <v>139</v>
      </c>
    </row>
    <row r="18" spans="1:10" ht="58.5" customHeight="1">
      <c r="A18" s="4">
        <v>14</v>
      </c>
      <c r="B18" s="4" t="s">
        <v>51</v>
      </c>
      <c r="C18" s="4" t="s">
        <v>64</v>
      </c>
      <c r="D18" s="4" t="s">
        <v>65</v>
      </c>
      <c r="E18" s="4" t="s">
        <v>66</v>
      </c>
      <c r="F18" s="4" t="s">
        <v>67</v>
      </c>
      <c r="G18" s="4" t="s">
        <v>134</v>
      </c>
      <c r="H18" s="4"/>
      <c r="I18" s="5">
        <v>46149</v>
      </c>
      <c r="J18" s="4" t="s">
        <v>139</v>
      </c>
    </row>
    <row r="19" spans="1:10" ht="58.5" customHeight="1">
      <c r="A19" s="4">
        <v>15</v>
      </c>
      <c r="B19" s="4" t="s">
        <v>51</v>
      </c>
      <c r="C19" s="4" t="s">
        <v>68</v>
      </c>
      <c r="D19" s="4" t="s">
        <v>69</v>
      </c>
      <c r="E19" s="4" t="s">
        <v>66</v>
      </c>
      <c r="F19" s="4" t="s">
        <v>70</v>
      </c>
      <c r="G19" s="4" t="s">
        <v>134</v>
      </c>
      <c r="H19" s="4"/>
      <c r="I19" s="5">
        <v>46149</v>
      </c>
      <c r="J19" s="4" t="s">
        <v>139</v>
      </c>
    </row>
    <row r="20" spans="1:10" ht="58.5" customHeight="1">
      <c r="A20" s="4">
        <v>16</v>
      </c>
      <c r="B20" s="4" t="s">
        <v>51</v>
      </c>
      <c r="C20" s="4" t="s">
        <v>71</v>
      </c>
      <c r="D20" s="4" t="s">
        <v>72</v>
      </c>
      <c r="E20" s="4" t="s">
        <v>73</v>
      </c>
      <c r="F20" s="4" t="s">
        <v>74</v>
      </c>
      <c r="G20" s="4" t="s">
        <v>134</v>
      </c>
      <c r="H20" s="4"/>
      <c r="I20" s="5">
        <v>46149</v>
      </c>
      <c r="J20" s="4" t="s">
        <v>139</v>
      </c>
    </row>
    <row r="21" spans="1:10" ht="58.5" customHeight="1">
      <c r="A21" s="4">
        <v>17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134</v>
      </c>
      <c r="H21" s="4"/>
      <c r="I21" s="5">
        <v>46149</v>
      </c>
      <c r="J21" s="4" t="s">
        <v>139</v>
      </c>
    </row>
    <row r="22" spans="1:10" ht="58.5" customHeight="1">
      <c r="A22" s="4">
        <v>18</v>
      </c>
      <c r="B22" s="4" t="s">
        <v>75</v>
      </c>
      <c r="C22" s="4" t="s">
        <v>80</v>
      </c>
      <c r="D22" s="4" t="s">
        <v>81</v>
      </c>
      <c r="E22" s="4" t="s">
        <v>82</v>
      </c>
      <c r="F22" s="4" t="s">
        <v>83</v>
      </c>
      <c r="G22" s="4" t="s">
        <v>134</v>
      </c>
      <c r="H22" s="4"/>
      <c r="I22" s="5">
        <v>46149</v>
      </c>
      <c r="J22" s="4" t="s">
        <v>139</v>
      </c>
    </row>
    <row r="23" spans="1:10" ht="58.5" customHeight="1">
      <c r="A23" s="4">
        <v>19</v>
      </c>
      <c r="B23" s="4" t="s">
        <v>75</v>
      </c>
      <c r="C23" s="4" t="s">
        <v>84</v>
      </c>
      <c r="D23" s="4" t="s">
        <v>85</v>
      </c>
      <c r="E23" s="4" t="s">
        <v>19</v>
      </c>
      <c r="F23" s="4" t="s">
        <v>86</v>
      </c>
      <c r="G23" s="4" t="s">
        <v>134</v>
      </c>
      <c r="H23" s="4"/>
      <c r="I23" s="5">
        <v>46149</v>
      </c>
      <c r="J23" s="4" t="s">
        <v>139</v>
      </c>
    </row>
    <row r="24" spans="1:10" ht="58.5" customHeight="1">
      <c r="A24" s="4">
        <v>20</v>
      </c>
      <c r="B24" s="4" t="s">
        <v>75</v>
      </c>
      <c r="C24" s="4" t="s">
        <v>87</v>
      </c>
      <c r="D24" s="4" t="s">
        <v>88</v>
      </c>
      <c r="E24" s="4" t="s">
        <v>89</v>
      </c>
      <c r="F24" s="4" t="s">
        <v>90</v>
      </c>
      <c r="G24" s="4" t="s">
        <v>134</v>
      </c>
      <c r="H24" s="4"/>
      <c r="I24" s="5">
        <v>46149</v>
      </c>
      <c r="J24" s="4" t="s">
        <v>139</v>
      </c>
    </row>
    <row r="25" spans="1:10" ht="58.5" customHeight="1">
      <c r="A25" s="4">
        <v>21</v>
      </c>
      <c r="B25" s="4" t="s">
        <v>75</v>
      </c>
      <c r="C25" s="4" t="s">
        <v>91</v>
      </c>
      <c r="D25" s="4" t="s">
        <v>92</v>
      </c>
      <c r="E25" s="4" t="s">
        <v>93</v>
      </c>
      <c r="F25" s="4" t="s">
        <v>94</v>
      </c>
      <c r="G25" s="4" t="s">
        <v>134</v>
      </c>
      <c r="H25" s="4"/>
      <c r="I25" s="5">
        <v>46149</v>
      </c>
      <c r="J25" s="4" t="s">
        <v>139</v>
      </c>
    </row>
    <row r="26" spans="1:10" ht="58.5" customHeight="1">
      <c r="A26" s="4">
        <v>22</v>
      </c>
      <c r="B26" s="4" t="s">
        <v>75</v>
      </c>
      <c r="C26" s="4" t="s">
        <v>95</v>
      </c>
      <c r="D26" s="4" t="s">
        <v>96</v>
      </c>
      <c r="E26" s="4" t="s">
        <v>97</v>
      </c>
      <c r="F26" s="4" t="s">
        <v>98</v>
      </c>
      <c r="G26" s="4" t="s">
        <v>134</v>
      </c>
      <c r="H26" s="4"/>
      <c r="I26" s="5">
        <v>46149</v>
      </c>
      <c r="J26" s="4" t="s">
        <v>139</v>
      </c>
    </row>
    <row r="27" spans="1:10" ht="58.5" customHeight="1">
      <c r="A27" s="4">
        <v>23</v>
      </c>
      <c r="B27" s="4" t="s">
        <v>75</v>
      </c>
      <c r="C27" s="4" t="s">
        <v>99</v>
      </c>
      <c r="D27" s="4" t="s">
        <v>100</v>
      </c>
      <c r="E27" s="4" t="s">
        <v>101</v>
      </c>
      <c r="F27" s="4" t="s">
        <v>102</v>
      </c>
      <c r="G27" s="4" t="s">
        <v>134</v>
      </c>
      <c r="H27" s="4"/>
      <c r="I27" s="5">
        <v>46149</v>
      </c>
      <c r="J27" s="4" t="s">
        <v>139</v>
      </c>
    </row>
    <row r="28" spans="1:10" ht="58.5" customHeight="1">
      <c r="A28" s="4">
        <v>24</v>
      </c>
      <c r="B28" s="4" t="s">
        <v>103</v>
      </c>
      <c r="C28" s="4" t="s">
        <v>104</v>
      </c>
      <c r="D28" s="4" t="s">
        <v>105</v>
      </c>
      <c r="E28" s="4" t="s">
        <v>106</v>
      </c>
      <c r="F28" s="4" t="s">
        <v>107</v>
      </c>
      <c r="G28" s="4" t="s">
        <v>134</v>
      </c>
      <c r="H28" s="4"/>
      <c r="I28" s="5">
        <v>46149</v>
      </c>
      <c r="J28" s="4" t="s">
        <v>139</v>
      </c>
    </row>
    <row r="29" spans="1:10" ht="58.5" customHeight="1">
      <c r="A29" s="4">
        <v>25</v>
      </c>
      <c r="B29" s="4" t="s">
        <v>103</v>
      </c>
      <c r="C29" s="4" t="s">
        <v>108</v>
      </c>
      <c r="D29" s="4" t="s">
        <v>109</v>
      </c>
      <c r="E29" s="4" t="s">
        <v>110</v>
      </c>
      <c r="F29" s="4" t="s">
        <v>111</v>
      </c>
      <c r="G29" s="4" t="s">
        <v>134</v>
      </c>
      <c r="H29" s="4"/>
      <c r="I29" s="5">
        <v>46149</v>
      </c>
      <c r="J29" s="4" t="s">
        <v>139</v>
      </c>
    </row>
    <row r="30" spans="1:10" ht="58.5" customHeight="1">
      <c r="A30" s="4">
        <v>26</v>
      </c>
      <c r="B30" s="4" t="s">
        <v>103</v>
      </c>
      <c r="C30" s="4" t="s">
        <v>112</v>
      </c>
      <c r="D30" s="4" t="s">
        <v>113</v>
      </c>
      <c r="E30" s="4" t="s">
        <v>114</v>
      </c>
      <c r="F30" s="4" t="s">
        <v>115</v>
      </c>
      <c r="G30" s="4" t="s">
        <v>134</v>
      </c>
      <c r="H30" s="4"/>
      <c r="I30" s="5">
        <v>46149</v>
      </c>
      <c r="J30" s="4" t="s">
        <v>139</v>
      </c>
    </row>
    <row r="31" spans="1:10" ht="58.5" customHeight="1">
      <c r="A31" s="4">
        <v>27</v>
      </c>
      <c r="B31" s="4" t="s">
        <v>103</v>
      </c>
      <c r="C31" s="4" t="s">
        <v>116</v>
      </c>
      <c r="D31" s="4" t="s">
        <v>117</v>
      </c>
      <c r="E31" s="4" t="s">
        <v>118</v>
      </c>
      <c r="F31" s="4" t="s">
        <v>119</v>
      </c>
      <c r="G31" s="4" t="s">
        <v>134</v>
      </c>
      <c r="H31" s="4"/>
      <c r="I31" s="5">
        <v>46149</v>
      </c>
      <c r="J31" s="4" t="s">
        <v>139</v>
      </c>
    </row>
    <row r="32" spans="1:10" ht="58.5" customHeight="1">
      <c r="A32" s="4">
        <v>28</v>
      </c>
      <c r="B32" s="4" t="s">
        <v>103</v>
      </c>
      <c r="C32" s="4" t="s">
        <v>120</v>
      </c>
      <c r="D32" s="4" t="s">
        <v>121</v>
      </c>
      <c r="E32" s="4" t="s">
        <v>122</v>
      </c>
      <c r="F32" s="4" t="s">
        <v>123</v>
      </c>
      <c r="G32" s="4" t="s">
        <v>134</v>
      </c>
      <c r="H32" s="4"/>
      <c r="I32" s="5">
        <v>46149</v>
      </c>
      <c r="J32" s="4" t="s">
        <v>139</v>
      </c>
    </row>
    <row r="33" spans="1:10" ht="58.5" customHeight="1">
      <c r="A33" s="4">
        <v>29</v>
      </c>
      <c r="B33" s="4" t="s">
        <v>103</v>
      </c>
      <c r="C33" s="4" t="s">
        <v>124</v>
      </c>
      <c r="D33" s="4" t="s">
        <v>125</v>
      </c>
      <c r="E33" s="4" t="s">
        <v>126</v>
      </c>
      <c r="F33" s="4" t="s">
        <v>127</v>
      </c>
      <c r="G33" s="4" t="s">
        <v>134</v>
      </c>
      <c r="H33" s="4"/>
      <c r="I33" s="5">
        <v>46149</v>
      </c>
      <c r="J33" s="4" t="s">
        <v>139</v>
      </c>
    </row>
  </sheetData>
  <mergeCells count="2">
    <mergeCell ref="A1:J1"/>
    <mergeCell ref="A2:J2"/>
  </mergeCells>
  <conditionalFormatting sqref="G5:G33">
    <cfRule type="containsText" dxfId="2" priority="1" operator="containsText" text="Bai"/>
    <cfRule type="containsText" dxfId="1" priority="2" operator="containsText" text="Ez"/>
    <cfRule type="containsText" dxfId="0" priority="3" operator="containsText" text="Egiteke"/>
  </conditionalFormatting>
  <dataValidations count="1">
    <dataValidation type="list" sqref="G5:G33" xr:uid="{00000000-0002-0000-0000-000000000000}">
      <formula1>"Egiteke,Bai,Ez"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baseColWidth="10" defaultColWidth="8.796875" defaultRowHeight="13.8"/>
  <cols>
    <col min="1" max="1" width="22.19921875" customWidth="1"/>
    <col min="2" max="2" width="12.796875" customWidth="1"/>
    <col min="4" max="4" width="19.5" customWidth="1"/>
    <col min="5" max="5" width="12.796875" customWidth="1"/>
  </cols>
  <sheetData>
    <row r="1" spans="1:6" ht="22.8">
      <c r="A1" s="9" t="s">
        <v>128</v>
      </c>
      <c r="B1" s="9"/>
      <c r="C1" s="9"/>
      <c r="D1" s="9"/>
      <c r="E1" s="9"/>
      <c r="F1" s="9"/>
    </row>
    <row r="3" spans="1:6">
      <c r="A3" s="1" t="s">
        <v>129</v>
      </c>
      <c r="B3" s="1" t="s">
        <v>130</v>
      </c>
      <c r="D3" s="1" t="s">
        <v>131</v>
      </c>
      <c r="E3" s="1" t="s">
        <v>132</v>
      </c>
    </row>
    <row r="4" spans="1:6">
      <c r="A4" s="3" t="s">
        <v>133</v>
      </c>
      <c r="B4" s="3">
        <v>29</v>
      </c>
      <c r="D4" s="3" t="s">
        <v>134</v>
      </c>
      <c r="E4" s="3">
        <f>COUNTIF(Jarraipena!G5:G33,"Bai")</f>
        <v>29</v>
      </c>
    </row>
    <row r="5" spans="1:6">
      <c r="A5" s="3" t="s">
        <v>135</v>
      </c>
      <c r="B5" s="3">
        <f>COUNTIF(Jarraipena!G5:G33,"Bai")</f>
        <v>29</v>
      </c>
      <c r="D5" s="3" t="s">
        <v>136</v>
      </c>
      <c r="E5" s="3">
        <f>COUNTIF(Jarraipena!G5:G33,"Ez")</f>
        <v>0</v>
      </c>
    </row>
    <row r="6" spans="1:6">
      <c r="A6" s="3" t="s">
        <v>137</v>
      </c>
      <c r="B6" s="3">
        <f>COUNTIF(Jarraipena!G5:G33,"Ez")</f>
        <v>0</v>
      </c>
      <c r="D6" s="3" t="s">
        <v>16</v>
      </c>
      <c r="E6" s="3">
        <f>COUNTIF(Jarraipena!G5:G33,"Egiteke")</f>
        <v>0</v>
      </c>
    </row>
    <row r="7" spans="1:6">
      <c r="A7" s="3" t="s">
        <v>16</v>
      </c>
      <c r="B7" s="3">
        <f>COUNTIF(Jarraipena!G5:G33,"Egiteke")</f>
        <v>0</v>
      </c>
      <c r="D7" s="3"/>
      <c r="E7" s="3"/>
    </row>
    <row r="8" spans="1:6">
      <c r="D8" s="3" t="s">
        <v>138</v>
      </c>
      <c r="E8" s="6">
        <f>IF(B4=0,0,B5/B4)</f>
        <v>1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Jarraipena</vt:lpstr>
      <vt:lpstr>Laburpena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Guisado Lorente, Iraitz</cp:lastModifiedBy>
  <dcterms:modified xsi:type="dcterms:W3CDTF">2026-05-07T11:32:57Z</dcterms:modified>
</cp:coreProperties>
</file>